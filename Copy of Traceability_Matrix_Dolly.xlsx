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2920D81-A16F-4CA6-8623-9FEAC7FE697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TRACEABILITY MATRIX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2" l="1"/>
  <c r="J5" i="2"/>
  <c r="J4" i="2"/>
  <c r="J3" i="2"/>
</calcChain>
</file>

<file path=xl/sharedStrings.xml><?xml version="1.0" encoding="utf-8"?>
<sst xmlns="http://schemas.openxmlformats.org/spreadsheetml/2006/main" count="192" uniqueCount="145">
  <si>
    <t>INDUSTRY ACADEMIA COMMUNITY</t>
  </si>
  <si>
    <t xml:space="preserve">DOMAIN NAME: </t>
  </si>
  <si>
    <t>Cyber Security</t>
  </si>
  <si>
    <t xml:space="preserve">INTERN NAME: </t>
  </si>
  <si>
    <t>Bhoomi Dembani</t>
  </si>
  <si>
    <t>DOCUMENT NAME:</t>
  </si>
  <si>
    <t>REQUIREMENT TRACEABILITY MATRIX (RTM)</t>
  </si>
  <si>
    <t>CREATED ON:</t>
  </si>
  <si>
    <t>15-Apr-2026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</si>
  <si>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</si>
  <si>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</si>
  <si>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</si>
  <si>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</si>
  <si>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t>1. Text in Italics are instructions for completing the document</t>
  </si>
  <si>
    <t>2. Text in orange is just for reference and should be deleted before submitting the document</t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</si>
  <si>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</si>
  <si>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</si>
  <si>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</si>
  <si>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</si>
  <si>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</si>
  <si>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</si>
  <si>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Protecting Sensitive Data with Encryption and Access Control</t>
  </si>
  <si>
    <t>TEST CASE COUNT</t>
  </si>
  <si>
    <t>DOCUMENT VERSION NUMBER</t>
  </si>
  <si>
    <t>1.0</t>
  </si>
  <si>
    <t>PASSED</t>
  </si>
  <si>
    <t>PROJECT MANAGER</t>
  </si>
  <si>
    <t>Harshada Topale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</si>
  <si>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</si>
  <si>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</si>
  <si>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</si>
  <si>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</si>
  <si>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</si>
  <si>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</si>
  <si>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</si>
  <si>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</si>
  <si>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</si>
  <si>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</si>
  <si>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</si>
  <si>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User Registration – Valid Data</t>
  </si>
  <si>
    <t>Name: John Doe, Email: john@test.com, Password: Test@1234</t>
  </si>
  <si>
    <t>Functional Testing</t>
  </si>
  <si>
    <t>User registered successfully; password stored as bcrypt hash; email stored AES-128-CBC encrypted.</t>
  </si>
  <si>
    <t>User registered successfully; bcrypt hash and encrypted email confirmed in database.</t>
  </si>
  <si>
    <t>User Registration – Duplicate Email</t>
  </si>
  <si>
    <t>Email already in database: john@test.com</t>
  </si>
  <si>
    <t>Negative Testing</t>
  </si>
  <si>
    <t>Error: 'Email already registered.' No duplicate record created.</t>
  </si>
  <si>
    <t>Error displayed correctly. No duplicate entry in database.</t>
  </si>
  <si>
    <t>User Registration – Weak Password</t>
  </si>
  <si>
    <t>Password: 1234 (too short, no special characters)</t>
  </si>
  <si>
    <t>Registration rejected; password policy error displayed.</t>
  </si>
  <si>
    <t>Registration blocked; error: 'Password must be at least 8 characters.'</t>
  </si>
  <si>
    <t>User Login – Valid Credentials</t>
  </si>
  <si>
    <t>Email: john@test.com, Password: Test@1234</t>
  </si>
  <si>
    <t>User logged in; session created; redirected to dashboard.</t>
  </si>
  <si>
    <t>Login successful; session set; dashboard loaded.</t>
  </si>
  <si>
    <t>User Login – Invalid Password</t>
  </si>
  <si>
    <t>Email: john@test.com, Password: WrongPass</t>
  </si>
  <si>
    <t>Login fails; error: 'Invalid credentials.'</t>
  </si>
  <si>
    <t>Login blocked; error shown; no session created.</t>
  </si>
  <si>
    <t>User Login – Non-Existent Email</t>
  </si>
  <si>
    <t>Email: notexist@test.com, Password: Test@1234</t>
  </si>
  <si>
    <t>Login fails; generic error shown; email existence not revealed.</t>
  </si>
  <si>
    <t>Login blocked; generic error displayed.</t>
  </si>
  <si>
    <t>Brute Force Protection – 5 Failed Attempts</t>
  </si>
  <si>
    <t>5 consecutive wrong passwords for same account</t>
  </si>
  <si>
    <t>Security Testing</t>
  </si>
  <si>
    <t>Account locked after 5 failed attempts; lockout message shown.</t>
  </si>
  <si>
    <t>Account locked; lockout message displayed with wait time.</t>
  </si>
  <si>
    <t>OTP Generation</t>
  </si>
  <si>
    <t>Valid login credentials entered</t>
  </si>
  <si>
    <t>6-digit OTP generated; displayed on screen; stored in session with timestamp.</t>
  </si>
  <si>
    <t>OTP generated and shown; session variable set with expiry.</t>
  </si>
  <si>
    <t>OTP simulated on-screen; no email in local environment</t>
  </si>
  <si>
    <t>OTP Verification – Valid OTP</t>
  </si>
  <si>
    <t>Correct OTP entered within 5 minutes</t>
  </si>
  <si>
    <t>OTP accepted; user authenticated; redirected to dashboard.</t>
  </si>
  <si>
    <t>OTP verified; session authenticated; dashboard loaded.</t>
  </si>
  <si>
    <t>OTP Verification – Expired OTP</t>
  </si>
  <si>
    <t>Correct OTP entered after 5-minute expiry</t>
  </si>
  <si>
    <t>OTP rejected; error: 'OTP has expired. Please login again.'</t>
  </si>
  <si>
    <t>Expired OTP rejected; user prompted to restart login.</t>
  </si>
  <si>
    <t>OTP Verification – Invalid OTP</t>
  </si>
  <si>
    <t>Incorrect 6-digit OTP entered</t>
  </si>
  <si>
    <t>OTP rejected; error: 'Invalid OTP. Please try again.'</t>
  </si>
  <si>
    <t>Invalid OTP rejected with correct error message.</t>
  </si>
  <si>
    <t>OTP Single-Use Enforcement</t>
  </si>
  <si>
    <t>Re-submission of already-used OTP</t>
  </si>
  <si>
    <t>Second use rejected; session invalidated.</t>
  </si>
  <si>
    <t>OTP invalidated after first use; reuse blocked.</t>
  </si>
  <si>
    <t>Role-Based Access – Admin Login</t>
  </si>
  <si>
    <t>Admin credentials entered</t>
  </si>
  <si>
    <t>Admin redirected to admin dashboard; all admin features accessible.</t>
  </si>
  <si>
    <t>Admin dashboard loaded; user management and logs visible.</t>
  </si>
  <si>
    <t>Role-Based Access – Regular User Login</t>
  </si>
  <si>
    <t>Regular user credentials entered</t>
  </si>
  <si>
    <t>User redirected to user dashboard; admin pages inaccessible.</t>
  </si>
  <si>
    <t>User dashboard loaded; admin options not visible.</t>
  </si>
  <si>
    <t>Unauthorised Admin Access by Regular User</t>
  </si>
  <si>
    <t>Regular user navigates to /admin/dashboard.php via URL</t>
  </si>
  <si>
    <t>Access denied; redirected to login with error: 'Unauthorised access.'</t>
  </si>
  <si>
    <t>Direct URL access blocked; error message displayed.</t>
  </si>
  <si>
    <t>CSRF Token – Valid Submission</t>
  </si>
  <si>
    <t>Form submitted with correct CSRF token</t>
  </si>
  <si>
    <t>Request accepted; form processed successfully.</t>
  </si>
  <si>
    <t>Request accepted; CSRF token validated.</t>
  </si>
  <si>
    <t>CSRF Token – Invalid/Missing Token</t>
  </si>
  <si>
    <t>Form submitted with tampered/missing CSRF token</t>
  </si>
  <si>
    <t>Request rejected; error: 'Invalid request. CSRF token mismatch.'</t>
  </si>
  <si>
    <t>Request blocked; CSRF validation failed message shown.</t>
  </si>
  <si>
    <t>Session Logout</t>
  </si>
  <si>
    <t>User clicks logout</t>
  </si>
  <si>
    <t>Session destroyed; redirected to login; session not resumable.</t>
  </si>
  <si>
    <t>Logout successful; session cleared; dashboard access redirects to login.</t>
  </si>
  <si>
    <t>Activity Log – Login Event</t>
  </si>
  <si>
    <t>Successful user login</t>
  </si>
  <si>
    <t>Login event recorded in activity log with username and timestamp.</t>
  </si>
  <si>
    <t>Login entry visible in admin activity log with correct details.</t>
  </si>
  <si>
    <t>Activity Log – Logout Event</t>
  </si>
  <si>
    <t>User logs out</t>
  </si>
  <si>
    <t>Logout event recorded in activity log with timestamp.</t>
  </si>
  <si>
    <t>Logout entry confirmed in activity log.</t>
  </si>
  <si>
    <t>SQL Injection – Login Form</t>
  </si>
  <si>
    <t>Input: ' OR '1'='1 in email/password fields</t>
  </si>
  <si>
    <t>Login rejected; SQL injection blocked; generic error shown.</t>
  </si>
  <si>
    <t>Injection failed; PDO prepared statements prevented SQL injection.</t>
  </si>
  <si>
    <t>PDO prepared statements used throughout</t>
  </si>
  <si>
    <t>AES Encryption Verification</t>
  </si>
  <si>
    <t>Register with email: test@secure.com</t>
  </si>
  <si>
    <t>Email stored as AES-128-CBC ciphertext; decrypts correctly on retrieval.</t>
  </si>
  <si>
    <t>Encrypted email in database; admin panel decrypts correctly.</t>
  </si>
  <si>
    <t>Password Bcrypt Hash Verification</t>
  </si>
  <si>
    <t>Register with password: Secure@5678</t>
  </si>
  <si>
    <t>Password stored as bcrypt hash; original not recoverable.</t>
  </si>
  <si>
    <t>Database shows bcrypt hash; password_verify() confirms match.</t>
  </si>
  <si>
    <t>Admin – View All Users</t>
  </si>
  <si>
    <t>Admin accesses user management page</t>
  </si>
  <si>
    <t>All users displayed with decrypted email, role, and registration date.</t>
  </si>
  <si>
    <t>User list displayed; emails decrypted for display.</t>
  </si>
  <si>
    <t>Admin – View Activity Logs</t>
  </si>
  <si>
    <t>Admin accesses activity log page</t>
  </si>
  <si>
    <t>Full log displayed with username, action, and timestamp.</t>
  </si>
  <si>
    <t>Activity logs shown correctly in chronological order.</t>
  </si>
  <si>
    <t>Dolly Panghate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</si>
</sst>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charset val="1"/>
    </font>
    <font>
      <b/>
      <i/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273755"/>
      <name val="Calibri"/>
      <family val="2"/>
      <charset val="1"/>
    </font>
    <font>
      <i/>
      <sz val="11"/>
      <color rgb="FF273755"/>
      <name val="Calibri"/>
      <family val="2"/>
      <charset val="1"/>
    </font>
    <font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A7313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FEC601"/>
        <bgColor rgb="FFFF9900"/>
      </patternFill>
    </fill>
    <fill>
      <patternFill patternType="solid">
        <fgColor rgb="FF3DA5D9"/>
        <bgColor rgb="FF339966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3" xfId="0" applyBorder="1"/>
    <xf numFmtId="0" fontId="0" fillId="3" borderId="0" xfId="0" applyFill="1"/>
    <xf numFmtId="0" fontId="0" fillId="3" borderId="4" xfId="0" applyFill="1" applyBorder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/>
    <xf numFmtId="0" fontId="0" fillId="0" borderId="4" xfId="0" applyBorder="1"/>
    <xf numFmtId="0" fontId="2" fillId="4" borderId="6" xfId="0" applyFont="1" applyFill="1" applyBorder="1"/>
    <xf numFmtId="0" fontId="0" fillId="0" borderId="6" xfId="0" applyBorder="1"/>
    <xf numFmtId="0" fontId="0" fillId="0" borderId="5" xfId="0" applyBorder="1"/>
    <xf numFmtId="0" fontId="6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0" fillId="0" borderId="7" xfId="0" applyBorder="1"/>
    <xf numFmtId="0" fontId="9" fillId="0" borderId="8" xfId="0" applyFont="1" applyBorder="1" applyAlignment="1">
      <alignment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DA5D9"/>
      <rgbColor rgb="FF99CC00"/>
      <rgbColor rgb="FFFEC601"/>
      <rgbColor rgb="FFFF9900"/>
      <rgbColor rgb="FFEA731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37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28440</xdr:rowOff>
    </xdr:from>
    <xdr:to>
      <xdr:col>1</xdr:col>
      <xdr:colOff>1037520</xdr:colOff>
      <xdr:row>6</xdr:row>
      <xdr:rowOff>27720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559" t="23891" r="-559" b="27225"/>
        <a:stretch/>
      </xdr:blipFill>
      <xdr:spPr>
        <a:xfrm>
          <a:off x="0" y="266400"/>
          <a:ext cx="2104920" cy="9518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0" displayName="Table120" ref="C9:J31" totalsRowShown="0">
  <autoFilter ref="C9:J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SL.NO"/>
    <tableColumn id="2" xr3:uid="{00000000-0010-0000-0000-000002000000}" name="TEST CASE"/>
    <tableColumn id="3" xr3:uid="{00000000-0010-0000-0000-000003000000}" name="TEST INPUT DATA"/>
    <tableColumn id="4" xr3:uid="{00000000-0010-0000-0000-000004000000}" name="TEST PROCEDURE"/>
    <tableColumn id="5" xr3:uid="{00000000-0010-0000-0000-000005000000}" name="EXPECTED RESULT"/>
    <tableColumn id="6" xr3:uid="{00000000-0010-0000-0000-000006000000}" name="ACTUAL RESULT"/>
    <tableColumn id="7" xr3:uid="{00000000-0010-0000-0000-000007000000}" name="STATUS "/>
    <tableColumn id="8" xr3:uid="{00000000-0010-0000-0000-000008000000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11" zoomScaleNormal="100" workbookViewId="0">
      <selection activeCell="B11" sqref="B11"/>
    </sheetView>
  </sheetViews>
  <sheetFormatPr defaultColWidth="11.44140625" defaultRowHeight="14.4" x14ac:dyDescent="0.3"/>
  <cols>
    <col min="1" max="1" width="15.109375" customWidth="1"/>
    <col min="2" max="2" width="21.6640625" customWidth="1"/>
  </cols>
  <sheetData>
    <row r="1" spans="1:2" ht="18.75" customHeight="1" x14ac:dyDescent="0.35">
      <c r="A1" s="4" t="s">
        <v>0</v>
      </c>
    </row>
    <row r="8" spans="1:2" x14ac:dyDescent="0.3">
      <c r="A8" s="5" t="s">
        <v>1</v>
      </c>
      <c r="B8" t="s">
        <v>2</v>
      </c>
    </row>
    <row r="9" spans="1:2" x14ac:dyDescent="0.3">
      <c r="A9" s="5" t="s">
        <v>3</v>
      </c>
      <c r="B9" t="s">
        <v>4</v>
      </c>
    </row>
    <row r="10" spans="1:2" x14ac:dyDescent="0.3">
      <c r="A10" s="5" t="s">
        <v>5</v>
      </c>
      <c r="B10" t="s">
        <v>6</v>
      </c>
    </row>
    <row r="11" spans="1:2" x14ac:dyDescent="0.3">
      <c r="A11" s="5" t="s">
        <v>7</v>
      </c>
      <c r="B11" s="6" t="s">
        <v>8</v>
      </c>
    </row>
    <row r="14" spans="1:2" x14ac:dyDescent="0.3">
      <c r="A14" s="5" t="s">
        <v>9</v>
      </c>
    </row>
    <row r="15" spans="1:2" x14ac:dyDescent="0.3">
      <c r="A15" t="s">
        <v>10</v>
      </c>
    </row>
    <row r="16" spans="1:2" x14ac:dyDescent="0.3">
      <c r="A16" s="7" t="s">
        <v>11</v>
      </c>
    </row>
    <row r="17" spans="1:1" x14ac:dyDescent="0.3">
      <c r="A17" s="7"/>
    </row>
    <row r="18" spans="1:1" x14ac:dyDescent="0.3">
      <c r="A18" s="8" t="s">
        <v>12</v>
      </c>
    </row>
    <row r="19" spans="1:1" x14ac:dyDescent="0.3">
      <c r="A19" s="7" t="s">
        <v>13</v>
      </c>
    </row>
    <row r="20" spans="1:1" x14ac:dyDescent="0.3">
      <c r="A20" s="7" t="s">
        <v>14</v>
      </c>
    </row>
    <row r="21" spans="1:1" x14ac:dyDescent="0.3">
      <c r="A21" s="7" t="s">
        <v>15</v>
      </c>
    </row>
    <row r="22" spans="1:1" x14ac:dyDescent="0.3">
      <c r="A22" s="7" t="s">
        <v>16</v>
      </c>
    </row>
    <row r="23" spans="1:1" x14ac:dyDescent="0.3">
      <c r="A23" s="7" t="s">
        <v>17</v>
      </c>
    </row>
    <row r="24" spans="1:1" x14ac:dyDescent="0.3">
      <c r="A24" s="7" t="s">
        <v>18</v>
      </c>
    </row>
    <row r="25" spans="1:1" x14ac:dyDescent="0.3">
      <c r="A25" s="7"/>
    </row>
    <row r="26" spans="1:1" x14ac:dyDescent="0.3">
      <c r="A26" s="9"/>
    </row>
    <row r="27" spans="1:1" x14ac:dyDescent="0.3">
      <c r="A27" s="7"/>
    </row>
    <row r="28" spans="1:1" x14ac:dyDescent="0.3">
      <c r="A28" s="7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699"/>
  </sheetPr>
  <dimension ref="B1:K36"/>
  <sheetViews>
    <sheetView showGridLines="0" tabSelected="1" zoomScaleNormal="100" workbookViewId="0">
      <selection activeCell="G40" sqref="G40"/>
    </sheetView>
  </sheetViews>
  <sheetFormatPr defaultColWidth="8.88671875" defaultRowHeight="14.4" x14ac:dyDescent="0.3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6.25" customHeight="1" x14ac:dyDescent="0.3">
      <c r="B1" s="10"/>
      <c r="C1" s="3" t="s">
        <v>19</v>
      </c>
      <c r="D1" s="3"/>
      <c r="E1" s="3"/>
      <c r="F1" s="3"/>
      <c r="G1" s="3"/>
      <c r="H1" s="3"/>
      <c r="I1" s="3"/>
      <c r="J1" s="3"/>
      <c r="K1" s="11"/>
    </row>
    <row r="2" spans="2:11" s="12" customFormat="1" ht="26.25" customHeight="1" x14ac:dyDescent="0.3">
      <c r="B2" s="13"/>
      <c r="C2" s="14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2" t="s">
        <v>20</v>
      </c>
      <c r="D3" s="2"/>
      <c r="E3" s="2"/>
      <c r="F3" s="1" t="s">
        <v>21</v>
      </c>
      <c r="G3" s="1"/>
      <c r="H3" s="1"/>
      <c r="I3" s="18" t="s">
        <v>22</v>
      </c>
      <c r="J3" s="19">
        <f>COUNT(Table120[SL.NO])</f>
        <v>20</v>
      </c>
      <c r="K3" s="20"/>
    </row>
    <row r="4" spans="2:11" x14ac:dyDescent="0.3">
      <c r="B4" s="17"/>
      <c r="C4" s="2" t="s">
        <v>23</v>
      </c>
      <c r="D4" s="2"/>
      <c r="E4" s="2"/>
      <c r="F4" s="1" t="s">
        <v>24</v>
      </c>
      <c r="G4" s="1"/>
      <c r="H4" s="1"/>
      <c r="I4" s="18" t="s">
        <v>25</v>
      </c>
      <c r="J4" s="19">
        <f>COUNTIF(Table120[[STATUS ]],"PASSED")</f>
        <v>20</v>
      </c>
      <c r="K4" s="20"/>
    </row>
    <row r="5" spans="2:11" x14ac:dyDescent="0.3">
      <c r="B5" s="17"/>
      <c r="C5" s="2" t="s">
        <v>26</v>
      </c>
      <c r="D5" s="2"/>
      <c r="E5" s="2"/>
      <c r="F5" s="1" t="s">
        <v>27</v>
      </c>
      <c r="G5" s="1"/>
      <c r="H5" s="1"/>
      <c r="I5" s="18" t="s">
        <v>28</v>
      </c>
      <c r="J5" s="19">
        <f>COUNTIF(Table120[[STATUS ]],"FAILED")</f>
        <v>0</v>
      </c>
      <c r="K5" s="20"/>
    </row>
    <row r="6" spans="2:11" x14ac:dyDescent="0.3">
      <c r="B6" s="17"/>
      <c r="C6" s="2" t="s">
        <v>29</v>
      </c>
      <c r="D6" s="2"/>
      <c r="E6" s="2"/>
      <c r="F6" s="1" t="s">
        <v>144</v>
      </c>
      <c r="G6" s="1"/>
      <c r="H6" s="1"/>
      <c r="I6" s="18" t="s">
        <v>30</v>
      </c>
      <c r="J6" s="19">
        <f>COUNTIF(Table120[[STATUS ]],"SKIPPED")</f>
        <v>0</v>
      </c>
      <c r="K6" s="20"/>
    </row>
    <row r="7" spans="2:11" x14ac:dyDescent="0.3">
      <c r="B7" s="17"/>
      <c r="K7" s="20"/>
    </row>
    <row r="8" spans="2:11" x14ac:dyDescent="0.3">
      <c r="B8" s="17"/>
      <c r="K8" s="20"/>
    </row>
    <row r="9" spans="2:11" x14ac:dyDescent="0.3">
      <c r="B9" s="17"/>
      <c r="C9" s="21" t="s">
        <v>31</v>
      </c>
      <c r="D9" s="21" t="s">
        <v>32</v>
      </c>
      <c r="E9" s="21" t="s">
        <v>33</v>
      </c>
      <c r="F9" s="21" t="s">
        <v>34</v>
      </c>
      <c r="G9" s="21" t="s">
        <v>35</v>
      </c>
      <c r="H9" s="21" t="s">
        <v>36</v>
      </c>
      <c r="I9" s="21" t="s">
        <v>37</v>
      </c>
      <c r="J9" s="21" t="s">
        <v>38</v>
      </c>
      <c r="K9" s="20"/>
    </row>
    <row r="10" spans="2:11" x14ac:dyDescent="0.3">
      <c r="B10" s="17"/>
      <c r="K10" s="20"/>
    </row>
    <row r="11" spans="2:11" ht="165" customHeight="1" x14ac:dyDescent="0.3">
      <c r="B11" s="17"/>
      <c r="C11" s="22"/>
      <c r="D11" s="23"/>
      <c r="E11" s="23"/>
      <c r="F11" s="23"/>
      <c r="G11" s="23"/>
      <c r="H11" s="23"/>
      <c r="I11" s="24"/>
      <c r="J11" s="23"/>
      <c r="K11" s="20"/>
    </row>
    <row r="12" spans="2:11" ht="90" customHeight="1" x14ac:dyDescent="0.3">
      <c r="B12" s="17"/>
      <c r="C12" s="25">
        <v>1</v>
      </c>
      <c r="D12" s="25" t="s">
        <v>39</v>
      </c>
      <c r="E12" s="25" t="s">
        <v>40</v>
      </c>
      <c r="F12" s="25" t="s">
        <v>41</v>
      </c>
      <c r="G12" s="25" t="s">
        <v>42</v>
      </c>
      <c r="H12" s="25" t="s">
        <v>43</v>
      </c>
      <c r="I12" s="25" t="s">
        <v>25</v>
      </c>
      <c r="J12" s="25"/>
      <c r="K12" s="20"/>
    </row>
    <row r="13" spans="2:11" ht="75" customHeight="1" x14ac:dyDescent="0.3">
      <c r="B13" s="17"/>
      <c r="C13" s="25">
        <v>2</v>
      </c>
      <c r="D13" s="25" t="s">
        <v>44</v>
      </c>
      <c r="E13" s="25" t="s">
        <v>45</v>
      </c>
      <c r="F13" s="25" t="s">
        <v>46</v>
      </c>
      <c r="G13" s="25" t="s">
        <v>47</v>
      </c>
      <c r="H13" s="25" t="s">
        <v>48</v>
      </c>
      <c r="I13" s="25" t="s">
        <v>25</v>
      </c>
      <c r="J13" s="25"/>
      <c r="K13" s="20"/>
    </row>
    <row r="14" spans="2:11" ht="75" customHeight="1" x14ac:dyDescent="0.3">
      <c r="B14" s="17"/>
      <c r="C14" s="25">
        <v>3</v>
      </c>
      <c r="D14" s="25" t="s">
        <v>49</v>
      </c>
      <c r="E14" s="25" t="s">
        <v>50</v>
      </c>
      <c r="F14" s="25" t="s">
        <v>46</v>
      </c>
      <c r="G14" s="25" t="s">
        <v>51</v>
      </c>
      <c r="H14" s="25" t="s">
        <v>52</v>
      </c>
      <c r="I14" s="25" t="s">
        <v>25</v>
      </c>
      <c r="J14" s="25"/>
      <c r="K14" s="20"/>
    </row>
    <row r="15" spans="2:11" ht="60" customHeight="1" x14ac:dyDescent="0.3">
      <c r="B15" s="17"/>
      <c r="C15" s="25">
        <v>4</v>
      </c>
      <c r="D15" s="25" t="s">
        <v>53</v>
      </c>
      <c r="E15" s="25" t="s">
        <v>54</v>
      </c>
      <c r="F15" s="25" t="s">
        <v>41</v>
      </c>
      <c r="G15" s="25" t="s">
        <v>55</v>
      </c>
      <c r="H15" s="25" t="s">
        <v>56</v>
      </c>
      <c r="I15" s="25" t="s">
        <v>25</v>
      </c>
      <c r="J15" s="25"/>
      <c r="K15" s="20"/>
    </row>
    <row r="16" spans="2:11" ht="60" customHeight="1" x14ac:dyDescent="0.3">
      <c r="B16" s="17"/>
      <c r="C16" s="25">
        <v>5</v>
      </c>
      <c r="D16" s="25" t="s">
        <v>57</v>
      </c>
      <c r="E16" s="25" t="s">
        <v>58</v>
      </c>
      <c r="F16" s="25" t="s">
        <v>46</v>
      </c>
      <c r="G16" s="25" t="s">
        <v>59</v>
      </c>
      <c r="H16" s="25" t="s">
        <v>60</v>
      </c>
      <c r="I16" s="25" t="s">
        <v>25</v>
      </c>
      <c r="J16" s="25"/>
      <c r="K16" s="20"/>
    </row>
    <row r="17" spans="2:11" ht="60" customHeight="1" x14ac:dyDescent="0.3">
      <c r="B17" s="17"/>
      <c r="C17" s="25">
        <v>6</v>
      </c>
      <c r="D17" s="25" t="s">
        <v>61</v>
      </c>
      <c r="E17" s="25" t="s">
        <v>62</v>
      </c>
      <c r="F17" s="25" t="s">
        <v>46</v>
      </c>
      <c r="G17" s="25" t="s">
        <v>63</v>
      </c>
      <c r="H17" s="25" t="s">
        <v>64</v>
      </c>
      <c r="I17" s="25" t="s">
        <v>25</v>
      </c>
      <c r="J17" s="25"/>
      <c r="K17" s="20"/>
    </row>
    <row r="18" spans="2:11" ht="60" customHeight="1" x14ac:dyDescent="0.3">
      <c r="B18" s="17"/>
      <c r="C18" s="25">
        <v>7</v>
      </c>
      <c r="D18" s="25" t="s">
        <v>65</v>
      </c>
      <c r="E18" s="25" t="s">
        <v>66</v>
      </c>
      <c r="F18" s="25" t="s">
        <v>67</v>
      </c>
      <c r="G18" s="25" t="s">
        <v>68</v>
      </c>
      <c r="H18" s="25" t="s">
        <v>69</v>
      </c>
      <c r="I18" s="25" t="s">
        <v>25</v>
      </c>
      <c r="J18" s="25"/>
      <c r="K18" s="20"/>
    </row>
    <row r="19" spans="2:11" ht="90" customHeight="1" x14ac:dyDescent="0.3">
      <c r="B19" s="17"/>
      <c r="C19" s="25">
        <v>8</v>
      </c>
      <c r="D19" s="25" t="s">
        <v>70</v>
      </c>
      <c r="E19" s="25" t="s">
        <v>71</v>
      </c>
      <c r="F19" s="25" t="s">
        <v>41</v>
      </c>
      <c r="G19" s="25" t="s">
        <v>72</v>
      </c>
      <c r="H19" s="25" t="s">
        <v>73</v>
      </c>
      <c r="I19" s="25" t="s">
        <v>25</v>
      </c>
      <c r="J19" s="25" t="s">
        <v>74</v>
      </c>
      <c r="K19" s="20"/>
    </row>
    <row r="20" spans="2:11" ht="60" customHeight="1" x14ac:dyDescent="0.3">
      <c r="B20" s="17"/>
      <c r="C20" s="25">
        <v>9</v>
      </c>
      <c r="D20" s="25" t="s">
        <v>75</v>
      </c>
      <c r="E20" s="25" t="s">
        <v>76</v>
      </c>
      <c r="F20" s="25" t="s">
        <v>41</v>
      </c>
      <c r="G20" s="25" t="s">
        <v>77</v>
      </c>
      <c r="H20" s="25" t="s">
        <v>78</v>
      </c>
      <c r="I20" s="25" t="s">
        <v>25</v>
      </c>
      <c r="J20" s="25"/>
      <c r="K20" s="20"/>
    </row>
    <row r="21" spans="2:11" ht="60" customHeight="1" x14ac:dyDescent="0.3">
      <c r="B21" s="17"/>
      <c r="C21" s="25">
        <v>10</v>
      </c>
      <c r="D21" s="25" t="s">
        <v>79</v>
      </c>
      <c r="E21" s="25" t="s">
        <v>80</v>
      </c>
      <c r="F21" s="25" t="s">
        <v>46</v>
      </c>
      <c r="G21" s="25" t="s">
        <v>81</v>
      </c>
      <c r="H21" s="25" t="s">
        <v>82</v>
      </c>
      <c r="I21" s="25" t="s">
        <v>25</v>
      </c>
      <c r="J21" s="25"/>
      <c r="K21" s="20"/>
    </row>
    <row r="22" spans="2:11" ht="60" customHeight="1" x14ac:dyDescent="0.3">
      <c r="B22" s="17"/>
      <c r="C22" s="25">
        <v>11</v>
      </c>
      <c r="D22" s="25" t="s">
        <v>83</v>
      </c>
      <c r="E22" s="25" t="s">
        <v>84</v>
      </c>
      <c r="F22" s="25" t="s">
        <v>46</v>
      </c>
      <c r="G22" s="25" t="s">
        <v>85</v>
      </c>
      <c r="H22" s="25" t="s">
        <v>86</v>
      </c>
      <c r="I22" s="25" t="s">
        <v>25</v>
      </c>
      <c r="J22" s="25"/>
      <c r="K22" s="20"/>
    </row>
    <row r="23" spans="2:11" ht="45" customHeight="1" x14ac:dyDescent="0.3">
      <c r="B23" s="17"/>
      <c r="C23" s="25">
        <v>12</v>
      </c>
      <c r="D23" s="25" t="s">
        <v>87</v>
      </c>
      <c r="E23" s="25" t="s">
        <v>88</v>
      </c>
      <c r="F23" s="25" t="s">
        <v>67</v>
      </c>
      <c r="G23" s="25" t="s">
        <v>89</v>
      </c>
      <c r="H23" s="25" t="s">
        <v>90</v>
      </c>
      <c r="I23" s="25" t="s">
        <v>25</v>
      </c>
      <c r="J23" s="25"/>
      <c r="K23" s="20"/>
    </row>
    <row r="24" spans="2:11" ht="75" customHeight="1" x14ac:dyDescent="0.3">
      <c r="B24" s="17"/>
      <c r="C24" s="25">
        <v>13</v>
      </c>
      <c r="D24" s="25" t="s">
        <v>91</v>
      </c>
      <c r="E24" s="25" t="s">
        <v>92</v>
      </c>
      <c r="F24" s="25" t="s">
        <v>41</v>
      </c>
      <c r="G24" s="25" t="s">
        <v>93</v>
      </c>
      <c r="H24" s="25" t="s">
        <v>94</v>
      </c>
      <c r="I24" s="25" t="s">
        <v>25</v>
      </c>
      <c r="J24" s="25"/>
      <c r="K24" s="20"/>
    </row>
    <row r="25" spans="2:11" ht="60" customHeight="1" x14ac:dyDescent="0.3">
      <c r="B25" s="17"/>
      <c r="C25" s="25">
        <v>14</v>
      </c>
      <c r="D25" s="25" t="s">
        <v>95</v>
      </c>
      <c r="E25" s="25" t="s">
        <v>96</v>
      </c>
      <c r="F25" s="25" t="s">
        <v>41</v>
      </c>
      <c r="G25" s="25" t="s">
        <v>97</v>
      </c>
      <c r="H25" s="25" t="s">
        <v>98</v>
      </c>
      <c r="I25" s="25" t="s">
        <v>25</v>
      </c>
      <c r="J25" s="25"/>
      <c r="K25" s="20"/>
    </row>
    <row r="26" spans="2:11" ht="75" customHeight="1" x14ac:dyDescent="0.3">
      <c r="B26" s="17"/>
      <c r="C26" s="25">
        <v>15</v>
      </c>
      <c r="D26" s="25" t="s">
        <v>99</v>
      </c>
      <c r="E26" s="25" t="s">
        <v>100</v>
      </c>
      <c r="F26" s="25" t="s">
        <v>67</v>
      </c>
      <c r="G26" s="25" t="s">
        <v>101</v>
      </c>
      <c r="H26" s="25" t="s">
        <v>102</v>
      </c>
      <c r="I26" s="25" t="s">
        <v>25</v>
      </c>
      <c r="J26" s="25"/>
      <c r="K26" s="20"/>
    </row>
    <row r="27" spans="2:11" ht="45" customHeight="1" x14ac:dyDescent="0.3">
      <c r="B27" s="17"/>
      <c r="C27" s="25">
        <v>16</v>
      </c>
      <c r="D27" s="25" t="s">
        <v>103</v>
      </c>
      <c r="E27" s="25" t="s">
        <v>104</v>
      </c>
      <c r="F27" s="25" t="s">
        <v>67</v>
      </c>
      <c r="G27" s="25" t="s">
        <v>105</v>
      </c>
      <c r="H27" s="25" t="s">
        <v>106</v>
      </c>
      <c r="I27" s="25" t="s">
        <v>25</v>
      </c>
      <c r="J27" s="25"/>
      <c r="K27" s="20"/>
    </row>
    <row r="28" spans="2:11" ht="60" customHeight="1" x14ac:dyDescent="0.3">
      <c r="B28" s="17"/>
      <c r="C28" s="25">
        <v>17</v>
      </c>
      <c r="D28" s="25" t="s">
        <v>107</v>
      </c>
      <c r="E28" s="25" t="s">
        <v>108</v>
      </c>
      <c r="F28" s="25" t="s">
        <v>67</v>
      </c>
      <c r="G28" s="25" t="s">
        <v>109</v>
      </c>
      <c r="H28" s="25" t="s">
        <v>110</v>
      </c>
      <c r="I28" s="25" t="s">
        <v>25</v>
      </c>
      <c r="J28" s="25"/>
      <c r="K28" s="20"/>
    </row>
    <row r="29" spans="2:11" ht="60" customHeight="1" x14ac:dyDescent="0.3">
      <c r="B29" s="17"/>
      <c r="C29" s="25">
        <v>18</v>
      </c>
      <c r="D29" s="25" t="s">
        <v>111</v>
      </c>
      <c r="E29" s="25" t="s">
        <v>112</v>
      </c>
      <c r="F29" s="25" t="s">
        <v>41</v>
      </c>
      <c r="G29" s="25" t="s">
        <v>113</v>
      </c>
      <c r="H29" s="25" t="s">
        <v>114</v>
      </c>
      <c r="I29" s="25" t="s">
        <v>25</v>
      </c>
      <c r="J29" s="25"/>
      <c r="K29" s="20"/>
    </row>
    <row r="30" spans="2:11" ht="75" customHeight="1" x14ac:dyDescent="0.3">
      <c r="B30" s="17"/>
      <c r="C30" s="25">
        <v>19</v>
      </c>
      <c r="D30" s="25" t="s">
        <v>115</v>
      </c>
      <c r="E30" s="25" t="s">
        <v>116</v>
      </c>
      <c r="F30" s="25" t="s">
        <v>41</v>
      </c>
      <c r="G30" s="25" t="s">
        <v>117</v>
      </c>
      <c r="H30" s="25" t="s">
        <v>118</v>
      </c>
      <c r="I30" s="25" t="s">
        <v>25</v>
      </c>
      <c r="J30" s="25"/>
      <c r="K30" s="20"/>
    </row>
    <row r="31" spans="2:11" ht="60" customHeight="1" x14ac:dyDescent="0.3">
      <c r="B31" s="17"/>
      <c r="C31" s="25">
        <v>20</v>
      </c>
      <c r="D31" s="25" t="s">
        <v>119</v>
      </c>
      <c r="E31" s="25" t="s">
        <v>120</v>
      </c>
      <c r="F31" s="25" t="s">
        <v>41</v>
      </c>
      <c r="G31" s="25" t="s">
        <v>121</v>
      </c>
      <c r="H31" s="25" t="s">
        <v>122</v>
      </c>
      <c r="I31" s="25" t="s">
        <v>25</v>
      </c>
      <c r="J31" s="25"/>
      <c r="K31" s="20"/>
    </row>
    <row r="32" spans="2:11" ht="15.75" customHeight="1" x14ac:dyDescent="0.3">
      <c r="B32" s="26"/>
      <c r="C32" s="27">
        <v>21</v>
      </c>
      <c r="D32" s="27" t="s">
        <v>123</v>
      </c>
      <c r="E32" s="27" t="s">
        <v>124</v>
      </c>
      <c r="F32" s="27" t="s">
        <v>67</v>
      </c>
      <c r="G32" s="27" t="s">
        <v>125</v>
      </c>
      <c r="H32" s="27" t="s">
        <v>126</v>
      </c>
      <c r="I32" s="27" t="s">
        <v>25</v>
      </c>
      <c r="J32" s="27" t="s">
        <v>127</v>
      </c>
      <c r="K32" s="28"/>
    </row>
    <row r="33" spans="3:10" ht="75" customHeight="1" x14ac:dyDescent="0.3">
      <c r="C33" s="25">
        <v>22</v>
      </c>
      <c r="D33" s="25" t="s">
        <v>128</v>
      </c>
      <c r="E33" s="25" t="s">
        <v>129</v>
      </c>
      <c r="F33" s="25" t="s">
        <v>41</v>
      </c>
      <c r="G33" s="25" t="s">
        <v>130</v>
      </c>
      <c r="H33" s="25" t="s">
        <v>131</v>
      </c>
      <c r="I33" s="25" t="s">
        <v>25</v>
      </c>
      <c r="J33" s="25"/>
    </row>
    <row r="34" spans="3:10" ht="60" customHeight="1" x14ac:dyDescent="0.3">
      <c r="C34" s="25">
        <v>23</v>
      </c>
      <c r="D34" s="25" t="s">
        <v>132</v>
      </c>
      <c r="E34" s="25" t="s">
        <v>133</v>
      </c>
      <c r="F34" s="25" t="s">
        <v>41</v>
      </c>
      <c r="G34" s="25" t="s">
        <v>134</v>
      </c>
      <c r="H34" s="25" t="s">
        <v>135</v>
      </c>
      <c r="I34" s="25" t="s">
        <v>25</v>
      </c>
      <c r="J34" s="25"/>
    </row>
    <row r="35" spans="3:10" ht="60" customHeight="1" x14ac:dyDescent="0.3">
      <c r="C35" s="25">
        <v>24</v>
      </c>
      <c r="D35" s="25" t="s">
        <v>136</v>
      </c>
      <c r="E35" s="25" t="s">
        <v>137</v>
      </c>
      <c r="F35" s="25" t="s">
        <v>41</v>
      </c>
      <c r="G35" s="25" t="s">
        <v>138</v>
      </c>
      <c r="H35" s="25" t="s">
        <v>139</v>
      </c>
      <c r="I35" s="25" t="s">
        <v>25</v>
      </c>
      <c r="J35" s="25"/>
    </row>
    <row r="36" spans="3:10" ht="60" customHeight="1" x14ac:dyDescent="0.3">
      <c r="C36" s="25">
        <v>25</v>
      </c>
      <c r="D36" s="25" t="s">
        <v>140</v>
      </c>
      <c r="E36" s="25" t="s">
        <v>141</v>
      </c>
      <c r="F36" s="25" t="s">
        <v>41</v>
      </c>
      <c r="G36" s="25" t="s">
        <v>142</v>
      </c>
      <c r="H36" s="25" t="s">
        <v>143</v>
      </c>
      <c r="I36" s="25" t="s">
        <v>25</v>
      </c>
      <c r="J36" s="25"/>
    </row>
  </sheetData>
  <mergeCells count="9">
    <mergeCell ref="C5:E5"/>
    <mergeCell ref="F5:H5"/>
    <mergeCell ref="C6:E6"/>
    <mergeCell ref="F6:H6"/>
    <mergeCell ref="C1:J1"/>
    <mergeCell ref="C3:E3"/>
    <mergeCell ref="F3:H3"/>
    <mergeCell ref="C4:E4"/>
    <mergeCell ref="F4:H4"/>
  </mergeCells>
  <dataValidations count="1">
    <dataValidation type="list" allowBlank="1" showInputMessage="1" showErrorMessage="1" sqref="I10:I31" xr:uid="{00000000-0002-0000-0100-000000000000}">
      <formula1>"PASSED,FAILED,SKIPPED"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dc:description/>
  <cp:lastModifiedBy>Dolly Panghate</cp:lastModifiedBy>
  <cp:revision>0</cp:revision>
  <dcterms:created xsi:type="dcterms:W3CDTF">2023-08-18T02:43:40Z</dcterms:created>
  <dcterms:modified xsi:type="dcterms:W3CDTF">2026-06-05T09:49:36Z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